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c Rin\Desktop\"/>
    </mc:Choice>
  </mc:AlternateContent>
  <xr:revisionPtr revIDLastSave="0" documentId="8_{90123613-9790-4A90-9E00-1F56567696E3}" xr6:coauthVersionLast="47" xr6:coauthVersionMax="47" xr10:uidLastSave="{00000000-0000-0000-0000-000000000000}"/>
  <bookViews>
    <workbookView xWindow="-108" yWindow="-108" windowWidth="23256" windowHeight="12576" xr2:uid="{6ABE1563-4D73-433C-BEFC-3B6511602C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1" l="1"/>
  <c r="D20" i="1"/>
  <c r="C24" i="1"/>
  <c r="E4" i="1"/>
  <c r="E10" i="1"/>
  <c r="E12" i="1"/>
  <c r="E11" i="1"/>
  <c r="O8" i="1"/>
  <c r="E9" i="1"/>
  <c r="E6" i="1"/>
  <c r="E7" i="1"/>
  <c r="E8" i="1"/>
  <c r="E5" i="1"/>
  <c r="O5" i="1"/>
  <c r="O6" i="1"/>
  <c r="O7" i="1"/>
  <c r="O4" i="1"/>
</calcChain>
</file>

<file path=xl/sharedStrings.xml><?xml version="1.0" encoding="utf-8"?>
<sst xmlns="http://schemas.openxmlformats.org/spreadsheetml/2006/main" count="53" uniqueCount="33">
  <si>
    <t>SL</t>
  </si>
  <si>
    <t>Ngày nhập</t>
  </si>
  <si>
    <t>SMK</t>
  </si>
  <si>
    <t>Sản phẩm</t>
  </si>
  <si>
    <t>TT</t>
  </si>
  <si>
    <t>Bố thắng</t>
  </si>
  <si>
    <t>Mua vào</t>
  </si>
  <si>
    <t>20/20/2026</t>
  </si>
  <si>
    <t>Bán ra</t>
  </si>
  <si>
    <t>Tên</t>
  </si>
  <si>
    <t>Xe</t>
  </si>
  <si>
    <t>Ngày bán</t>
  </si>
  <si>
    <t>SĐT</t>
  </si>
  <si>
    <t>a Khanh</t>
  </si>
  <si>
    <t>Gr+ Gr Lite</t>
  </si>
  <si>
    <t>0857722386</t>
  </si>
  <si>
    <t>0857722387</t>
  </si>
  <si>
    <t>Gr</t>
  </si>
  <si>
    <t>a Kông</t>
  </si>
  <si>
    <t>0775675765</t>
  </si>
  <si>
    <t>Feliz 2</t>
  </si>
  <si>
    <t>a Trung</t>
  </si>
  <si>
    <t>Evo Max</t>
  </si>
  <si>
    <t>Tổng cộng</t>
  </si>
  <si>
    <t>Đơn giá</t>
  </si>
  <si>
    <t>xe nhà</t>
  </si>
  <si>
    <t>none</t>
  </si>
  <si>
    <t>Ống gen</t>
  </si>
  <si>
    <t>Keo điện</t>
  </si>
  <si>
    <t>Dây rút lớn</t>
  </si>
  <si>
    <t>Dây rút nhỏ</t>
  </si>
  <si>
    <t>Tồn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</si>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</sst>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quotePrefix="1" applyBorder="1"/>
    <xf numFmtId="0" fontId="0" fillId="0" borderId="0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14" fontId="0" fillId="0" borderId="0" xfId="0" applyNumberFormat="1" applyBorder="1" applyAlignment="1">
      <alignment horizontal="right" vertical="center"/>
    </xf>
    <xf numFmtId="168" fontId="0" fillId="0" borderId="0" xfId="0" applyNumberFormat="1" applyBorder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14" fontId="0" fillId="0" borderId="0" xfId="0" applyNumberFormat="1" applyBorder="1"/>
    <xf numFmtId="0" fontId="1" fillId="0" borderId="5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Fill="1" applyBorder="1"/>
    <xf numFmtId="168" fontId="0" fillId="0" borderId="0" xfId="0" applyNumberFormat="1" applyFill="1" applyBorder="1" applyAlignment="1">
      <alignment horizontal="right" vertical="center"/>
    </xf>
    <xf numFmtId="14" fontId="1" fillId="0" borderId="4" xfId="0" applyNumberFormat="1" applyFont="1" applyBorder="1" applyAlignment="1">
      <alignment horizontal="center" vertical="center"/>
    </xf>
    <xf numFmtId="14" fontId="0" fillId="0" borderId="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BD69-EC0C-420D-B0D4-25D82C268751}">
  <dimension ref="A1:P25"/>
  <sheetViews>
    <sheetView tabSelected="1" workbookViewId="0">
      <selection activeCell="L19" sqref="L19"/>
    </sheetView>
  </sheetViews>
  <sheetFormatPr defaultRowHeight="13.8" x14ac:dyDescent="0.25"/>
  <cols>
    <col min="2" max="2" width="10.19921875" customWidth="1"/>
    <col min="3" max="3" width="11.5" customWidth="1"/>
    <col min="5" max="5" width="7.796875" customWidth="1"/>
    <col min="6" max="6" width="11.19921875" style="1" customWidth="1"/>
    <col min="9" max="9" width="9.796875" customWidth="1"/>
    <col min="10" max="10" width="11.09765625" customWidth="1"/>
    <col min="11" max="11" width="12.69921875" customWidth="1"/>
    <col min="12" max="12" width="10.69921875" customWidth="1"/>
    <col min="14" max="14" width="9.8984375" bestFit="1" customWidth="1"/>
    <col min="16" max="16" width="10.19921875" customWidth="1"/>
  </cols>
  <sheetData>
    <row r="1" spans="1:16" ht="14.4" thickBot="1" x14ac:dyDescent="0.3">
      <c r="A1" s="4" t="s">
        <v>6</v>
      </c>
      <c r="F1" s="2"/>
      <c r="I1" s="5" t="s">
        <v>8</v>
      </c>
    </row>
    <row r="2" spans="1:16" ht="14.4" thickBot="1" x14ac:dyDescent="0.3">
      <c r="B2" s="3"/>
      <c r="C2" s="3"/>
      <c r="D2" s="3"/>
      <c r="E2" s="3"/>
      <c r="F2" s="2"/>
    </row>
    <row r="3" spans="1:16" ht="14.4" thickBot="1" x14ac:dyDescent="0.3">
      <c r="B3" s="8" t="s">
        <v>3</v>
      </c>
      <c r="C3" s="9" t="s">
        <v>0</v>
      </c>
      <c r="D3" s="9" t="s">
        <v>4</v>
      </c>
      <c r="E3" s="9" t="s">
        <v>24</v>
      </c>
      <c r="F3" s="22" t="s">
        <v>1</v>
      </c>
      <c r="I3" s="8" t="s">
        <v>9</v>
      </c>
      <c r="J3" s="9" t="s">
        <v>12</v>
      </c>
      <c r="K3" s="9" t="s">
        <v>10</v>
      </c>
      <c r="L3" s="17" t="s">
        <v>3</v>
      </c>
      <c r="M3" s="18" t="s">
        <v>24</v>
      </c>
      <c r="N3" s="18" t="s">
        <v>0</v>
      </c>
      <c r="O3" s="9" t="s">
        <v>4</v>
      </c>
      <c r="P3" s="19" t="s">
        <v>11</v>
      </c>
    </row>
    <row r="4" spans="1:16" x14ac:dyDescent="0.25">
      <c r="B4" t="s">
        <v>2</v>
      </c>
      <c r="C4">
        <v>1</v>
      </c>
      <c r="D4">
        <v>47</v>
      </c>
      <c r="E4" s="11">
        <f>D4/C4</f>
        <v>47</v>
      </c>
      <c r="F4" s="1">
        <v>46308</v>
      </c>
      <c r="I4" s="7" t="s">
        <v>13</v>
      </c>
      <c r="J4" s="6" t="s">
        <v>15</v>
      </c>
      <c r="K4" s="7" t="s">
        <v>14</v>
      </c>
      <c r="L4" s="7" t="s">
        <v>2</v>
      </c>
      <c r="M4" s="7">
        <v>200</v>
      </c>
      <c r="N4" s="7">
        <v>2</v>
      </c>
      <c r="O4" s="7">
        <f>M4*N4</f>
        <v>400</v>
      </c>
      <c r="P4" s="16">
        <v>46311</v>
      </c>
    </row>
    <row r="5" spans="1:16" x14ac:dyDescent="0.25">
      <c r="B5" s="10" t="s">
        <v>2</v>
      </c>
      <c r="C5" s="11">
        <v>5</v>
      </c>
      <c r="D5" s="11">
        <v>254</v>
      </c>
      <c r="E5" s="11">
        <f>D5/C5</f>
        <v>50.8</v>
      </c>
      <c r="F5" s="12">
        <v>46311</v>
      </c>
      <c r="I5" s="7" t="s">
        <v>13</v>
      </c>
      <c r="J5" s="6" t="s">
        <v>16</v>
      </c>
      <c r="K5" s="7" t="s">
        <v>17</v>
      </c>
      <c r="L5" s="7" t="s">
        <v>5</v>
      </c>
      <c r="M5" s="7">
        <v>50</v>
      </c>
      <c r="N5" s="7">
        <v>1</v>
      </c>
      <c r="O5" s="7">
        <f t="shared" ref="O5:O8" si="0">M5*N5</f>
        <v>50</v>
      </c>
      <c r="P5" s="16">
        <v>46311</v>
      </c>
    </row>
    <row r="6" spans="1:16" x14ac:dyDescent="0.25">
      <c r="B6" s="10" t="s">
        <v>2</v>
      </c>
      <c r="C6" s="11">
        <v>6</v>
      </c>
      <c r="D6" s="11">
        <v>307</v>
      </c>
      <c r="E6" s="13">
        <f t="shared" ref="E6:E11" si="1">D6/C6</f>
        <v>51.166666666666664</v>
      </c>
      <c r="F6" s="12">
        <v>46375</v>
      </c>
      <c r="I6" s="7" t="s">
        <v>18</v>
      </c>
      <c r="J6" s="6" t="s">
        <v>19</v>
      </c>
      <c r="K6" s="7" t="s">
        <v>20</v>
      </c>
      <c r="L6" s="7" t="s">
        <v>2</v>
      </c>
      <c r="M6" s="7">
        <v>200</v>
      </c>
      <c r="N6" s="7">
        <v>1</v>
      </c>
      <c r="O6" s="7">
        <f t="shared" si="0"/>
        <v>200</v>
      </c>
      <c r="P6" s="16">
        <v>46313</v>
      </c>
    </row>
    <row r="7" spans="1:16" x14ac:dyDescent="0.25">
      <c r="B7" s="10" t="s">
        <v>5</v>
      </c>
      <c r="C7" s="11">
        <v>2</v>
      </c>
      <c r="D7" s="11">
        <v>38</v>
      </c>
      <c r="E7" s="11">
        <f t="shared" si="1"/>
        <v>19</v>
      </c>
      <c r="F7" s="12">
        <v>46306</v>
      </c>
      <c r="I7" s="7" t="s">
        <v>21</v>
      </c>
      <c r="J7" s="20" t="s">
        <v>26</v>
      </c>
      <c r="K7" s="7" t="s">
        <v>22</v>
      </c>
      <c r="L7" s="7" t="s">
        <v>2</v>
      </c>
      <c r="M7" s="7">
        <v>200</v>
      </c>
      <c r="N7" s="7">
        <v>1</v>
      </c>
      <c r="O7" s="7">
        <f t="shared" si="0"/>
        <v>200</v>
      </c>
      <c r="P7" s="16">
        <v>46313</v>
      </c>
    </row>
    <row r="8" spans="1:16" x14ac:dyDescent="0.25">
      <c r="B8" s="10" t="s">
        <v>5</v>
      </c>
      <c r="C8" s="11">
        <v>5</v>
      </c>
      <c r="D8" s="11">
        <v>94</v>
      </c>
      <c r="E8" s="11">
        <f t="shared" si="1"/>
        <v>18.8</v>
      </c>
      <c r="F8" s="23" t="s">
        <v>7</v>
      </c>
      <c r="I8" s="20" t="s">
        <v>25</v>
      </c>
      <c r="J8" s="20" t="s">
        <v>26</v>
      </c>
      <c r="K8" s="20" t="s">
        <v>17</v>
      </c>
      <c r="L8" t="s">
        <v>2</v>
      </c>
      <c r="M8" s="20">
        <v>0</v>
      </c>
      <c r="N8" s="20">
        <v>1</v>
      </c>
      <c r="O8" s="20">
        <f t="shared" si="0"/>
        <v>0</v>
      </c>
      <c r="P8" s="16">
        <v>46313</v>
      </c>
    </row>
    <row r="9" spans="1:16" x14ac:dyDescent="0.25">
      <c r="B9" s="14" t="s">
        <v>29</v>
      </c>
      <c r="C9" s="15">
        <v>1</v>
      </c>
      <c r="D9" s="15">
        <v>35</v>
      </c>
      <c r="E9" s="15">
        <f t="shared" si="1"/>
        <v>35</v>
      </c>
      <c r="F9" s="16">
        <v>46313</v>
      </c>
    </row>
    <row r="10" spans="1:16" x14ac:dyDescent="0.25">
      <c r="B10" s="14" t="s">
        <v>30</v>
      </c>
      <c r="C10" s="15">
        <v>1</v>
      </c>
      <c r="D10" s="15">
        <v>5</v>
      </c>
      <c r="E10" s="15">
        <f t="shared" si="1"/>
        <v>5</v>
      </c>
      <c r="F10" s="1">
        <v>46311</v>
      </c>
    </row>
    <row r="11" spans="1:16" x14ac:dyDescent="0.25">
      <c r="B11" s="14" t="s">
        <v>27</v>
      </c>
      <c r="C11" s="15">
        <v>3</v>
      </c>
      <c r="D11" s="15">
        <v>8</v>
      </c>
      <c r="E11" s="21">
        <f>D11/C11</f>
        <v>2.6666666666666665</v>
      </c>
      <c r="F11" s="16">
        <v>46311</v>
      </c>
    </row>
    <row r="12" spans="1:16" x14ac:dyDescent="0.25">
      <c r="B12" s="14" t="s">
        <v>28</v>
      </c>
      <c r="C12" s="15">
        <v>1</v>
      </c>
      <c r="D12" s="15">
        <v>10</v>
      </c>
      <c r="E12" s="15">
        <f>D12/C12</f>
        <v>10</v>
      </c>
      <c r="F12" s="1" t="s">
        <v>26</v>
      </c>
    </row>
    <row r="20" spans="1:13" x14ac:dyDescent="0.25">
      <c r="A20" t="s">
        <v>23</v>
      </c>
      <c r="D20">
        <f>SUM(D4:D12)</f>
        <v>798</v>
      </c>
      <c r="M20">
        <f>SUM(O4:O8)</f>
        <v>850</v>
      </c>
    </row>
    <row r="22" spans="1:13" ht="14.4" thickBot="1" x14ac:dyDescent="0.3"/>
    <row r="23" spans="1:13" ht="14.4" thickBot="1" x14ac:dyDescent="0.3">
      <c r="A23" t="s">
        <v>31</v>
      </c>
      <c r="B23" s="8" t="s">
        <v>3</v>
      </c>
      <c r="C23" s="9" t="s">
        <v>0</v>
      </c>
    </row>
    <row r="24" spans="1:13" x14ac:dyDescent="0.25">
      <c r="B24" t="s">
        <v>2</v>
      </c>
      <c r="C24">
        <f>SUM(C4+C5+C6-N4-N7-N6-N8)</f>
        <v>7</v>
      </c>
    </row>
    <row r="25" spans="1:13" x14ac:dyDescent="0.25">
      <c r="B25" t="s">
        <v>5</v>
      </c>
      <c r="C25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 Phan</dc:creator>
  <cp:lastModifiedBy>Rin Phan</cp:lastModifiedBy>
  <dcterms:created xsi:type="dcterms:W3CDTF">2026-10-19T04:25:54Z</dcterms:created>
  <dcterms:modified xsi:type="dcterms:W3CDTF">2026-10-19T07:21:57Z</dcterms:modified>
</cp:coreProperties>
</file>